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ec7910c9317ed/Dictado/DMC/Power BI Financiero/ED 8/Material/Avances/"/>
    </mc:Choice>
  </mc:AlternateContent>
  <xr:revisionPtr revIDLastSave="143" documentId="8_{179B62D1-E378-44FE-9C99-2F33E2E5B665}" xr6:coauthVersionLast="47" xr6:coauthVersionMax="47" xr10:uidLastSave="{49078320-7AE5-42DA-92EF-C79C9BC34F44}"/>
  <bookViews>
    <workbookView xWindow="-120" yWindow="-120" windowWidth="27870" windowHeight="16440" xr2:uid="{771A2E67-235D-4305-B9D3-A5EE36F7F056}"/>
  </bookViews>
  <sheets>
    <sheet name="cronogram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K26" i="3"/>
  <c r="C4" i="3"/>
  <c r="F14" i="3" s="1"/>
  <c r="J18" i="3"/>
  <c r="H7" i="3"/>
  <c r="F10" i="3"/>
  <c r="F2" i="3"/>
  <c r="C15" i="3"/>
  <c r="C9" i="3"/>
  <c r="C11" i="3" s="1"/>
  <c r="C12" i="3"/>
  <c r="C13" i="3" l="1"/>
  <c r="C17" i="3" s="1"/>
  <c r="C18" i="3" s="1"/>
  <c r="C5" i="3"/>
  <c r="G58" i="3" s="1"/>
  <c r="F50" i="3" l="1"/>
  <c r="G43" i="3"/>
  <c r="G41" i="3"/>
  <c r="F42" i="3"/>
  <c r="G38" i="3"/>
  <c r="F45" i="3"/>
  <c r="F43" i="3"/>
  <c r="H43" i="3" s="1"/>
  <c r="G48" i="3"/>
  <c r="G35" i="3"/>
  <c r="G55" i="3"/>
  <c r="F35" i="3"/>
  <c r="G47" i="3"/>
  <c r="G29" i="3"/>
  <c r="G45" i="3"/>
  <c r="F37" i="3"/>
  <c r="G39" i="3"/>
  <c r="G30" i="3"/>
  <c r="G42" i="3"/>
  <c r="H42" i="3" s="1"/>
  <c r="G49" i="3"/>
  <c r="F47" i="3"/>
  <c r="G54" i="3"/>
  <c r="G23" i="3"/>
  <c r="F53" i="3"/>
  <c r="F55" i="3"/>
  <c r="F30" i="3"/>
  <c r="F26" i="3"/>
  <c r="F46" i="3"/>
  <c r="G25" i="3"/>
  <c r="G52" i="3"/>
  <c r="F56" i="3"/>
  <c r="F27" i="3"/>
  <c r="F49" i="3"/>
  <c r="F54" i="3"/>
  <c r="F38" i="3"/>
  <c r="H38" i="3" s="1"/>
  <c r="F39" i="3"/>
  <c r="H39" i="3" s="1"/>
  <c r="G46" i="3"/>
  <c r="H46" i="3" s="1"/>
  <c r="F34" i="3"/>
  <c r="G50" i="3"/>
  <c r="F57" i="3"/>
  <c r="F32" i="3"/>
  <c r="G34" i="3"/>
  <c r="F58" i="3"/>
  <c r="H58" i="3" s="1"/>
  <c r="G37" i="3"/>
  <c r="H37" i="3" s="1"/>
  <c r="G26" i="3"/>
  <c r="H26" i="3" s="1"/>
  <c r="F52" i="3"/>
  <c r="G31" i="3"/>
  <c r="F25" i="3"/>
  <c r="H25" i="3" s="1"/>
  <c r="F29" i="3"/>
  <c r="G32" i="3"/>
  <c r="G51" i="3"/>
  <c r="G53" i="3"/>
  <c r="F41" i="3"/>
  <c r="H41" i="3" s="1"/>
  <c r="G44" i="3"/>
  <c r="F64" i="3"/>
  <c r="F63" i="3"/>
  <c r="G59" i="3"/>
  <c r="G60" i="3"/>
  <c r="F61" i="3"/>
  <c r="G61" i="3"/>
  <c r="H61" i="3" s="1"/>
  <c r="G62" i="3"/>
  <c r="G63" i="3"/>
  <c r="F62" i="3"/>
  <c r="G64" i="3"/>
  <c r="F59" i="3"/>
  <c r="F60" i="3"/>
  <c r="F33" i="3"/>
  <c r="F48" i="3"/>
  <c r="H48" i="3" s="1"/>
  <c r="G33" i="3"/>
  <c r="H33" i="3" s="1"/>
  <c r="G56" i="3"/>
  <c r="H56" i="3" s="1"/>
  <c r="F24" i="3"/>
  <c r="G24" i="3"/>
  <c r="H24" i="3" s="1"/>
  <c r="G28" i="3"/>
  <c r="F28" i="3"/>
  <c r="F51" i="3"/>
  <c r="F36" i="3"/>
  <c r="F23" i="3"/>
  <c r="G57" i="3"/>
  <c r="H57" i="3" s="1"/>
  <c r="G36" i="3"/>
  <c r="G27" i="3"/>
  <c r="H27" i="3" s="1"/>
  <c r="G40" i="3"/>
  <c r="F40" i="3"/>
  <c r="F44" i="3"/>
  <c r="F31" i="3"/>
  <c r="F11" i="3"/>
  <c r="F5" i="3"/>
  <c r="F4" i="3" s="1"/>
  <c r="C21" i="3"/>
  <c r="H47" i="3" l="1"/>
  <c r="H32" i="3"/>
  <c r="H55" i="3"/>
  <c r="H31" i="3"/>
  <c r="H54" i="3"/>
  <c r="H49" i="3"/>
  <c r="H50" i="3"/>
  <c r="H35" i="3"/>
  <c r="H29" i="3"/>
  <c r="H34" i="3"/>
  <c r="I34" i="3" s="1"/>
  <c r="H52" i="3"/>
  <c r="H30" i="3"/>
  <c r="H44" i="3"/>
  <c r="H53" i="3"/>
  <c r="H64" i="3"/>
  <c r="H63" i="3"/>
  <c r="H51" i="3"/>
  <c r="H45" i="3"/>
  <c r="I46" i="3" s="1"/>
  <c r="H62" i="3"/>
  <c r="F13" i="3"/>
  <c r="F15" i="3" s="1"/>
  <c r="F17" i="3" s="1"/>
  <c r="F18" i="3" s="1"/>
  <c r="G18" i="3" s="1"/>
  <c r="H12" i="3"/>
  <c r="H60" i="3"/>
  <c r="H28" i="3"/>
  <c r="H59" i="3"/>
  <c r="H40" i="3"/>
  <c r="I41" i="3" s="1"/>
  <c r="H23" i="3"/>
  <c r="H36" i="3"/>
  <c r="F20" i="3"/>
  <c r="I30" i="3" l="1"/>
</calcChain>
</file>

<file path=xl/sharedStrings.xml><?xml version="1.0" encoding="utf-8"?>
<sst xmlns="http://schemas.openxmlformats.org/spreadsheetml/2006/main" count="40" uniqueCount="32">
  <si>
    <t>total</t>
  </si>
  <si>
    <t>inicial</t>
  </si>
  <si>
    <t>total prestado</t>
  </si>
  <si>
    <t>cuota</t>
  </si>
  <si>
    <t>cantidad de cuotas</t>
  </si>
  <si>
    <t>pago total</t>
  </si>
  <si>
    <t>pago de cuotas</t>
  </si>
  <si>
    <t>pago de inicial</t>
  </si>
  <si>
    <t>capital inicial</t>
  </si>
  <si>
    <t>costo del dinero</t>
  </si>
  <si>
    <t>pago de interes en cuotas</t>
  </si>
  <si>
    <t>cuotas de pago</t>
  </si>
  <si>
    <t>costo en 12 cuotas</t>
  </si>
  <si>
    <t>capital</t>
  </si>
  <si>
    <t>interes</t>
  </si>
  <si>
    <t>TCEA:</t>
  </si>
  <si>
    <t>ANUAL</t>
  </si>
  <si>
    <t>MENSUAL</t>
  </si>
  <si>
    <t>CAPITAL</t>
  </si>
  <si>
    <t>CUOTA</t>
  </si>
  <si>
    <t>VALOR TOTAL</t>
  </si>
  <si>
    <t>VALOR DE INICIAL</t>
  </si>
  <si>
    <t>valor total</t>
  </si>
  <si>
    <t>interes total</t>
  </si>
  <si>
    <t>total capital</t>
  </si>
  <si>
    <t>cem</t>
  </si>
  <si>
    <t>capacidad</t>
  </si>
  <si>
    <t>endeudamiento</t>
  </si>
  <si>
    <t>mensual</t>
  </si>
  <si>
    <t xml:space="preserve">sueldo neto </t>
  </si>
  <si>
    <t>sueldos anuales</t>
  </si>
  <si>
    <t>ingreso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</si>
</sst>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S/&quot;\ #,##0.00;[Red]\-&quot;S/&quot;\ #,##0.00"/>
    <numFmt numFmtId="44" formatCode="_-&quot;S/&quot;\ * #,##0.00_-;\-&quot;S/&quot;\ * #,##0.00_-;_-&quot;S/&quot;\ * &quot;-&quot;??_-;_-@_-"/>
    <numFmt numFmtId="164" formatCode="0.000%"/>
    <numFmt numFmtId="165" formatCode="&quot;S/&quot;\ #,##0.0000;[Red]\-&quot;S/&quot;\ #,##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42" applyFont="1"/>
    <xf numFmtId="44" fontId="0" fillId="0" borderId="0" xfId="0" applyNumberFormat="1"/>
    <xf numFmtId="44" fontId="0" fillId="33" borderId="0" xfId="0" applyNumberFormat="1" applyFill="1"/>
    <xf numFmtId="0" fontId="0" fillId="34" borderId="0" xfId="0" applyFill="1"/>
    <xf numFmtId="44" fontId="0" fillId="35" borderId="0" xfId="0" applyNumberFormat="1" applyFill="1"/>
    <xf numFmtId="44" fontId="0" fillId="34" borderId="0" xfId="42" applyFont="1" applyFill="1"/>
    <xf numFmtId="44" fontId="0" fillId="36" borderId="0" xfId="42" applyFont="1" applyFill="1"/>
    <xf numFmtId="0" fontId="0" fillId="0" borderId="10" xfId="0" applyBorder="1"/>
    <xf numFmtId="10" fontId="0" fillId="0" borderId="10" xfId="43" applyNumberFormat="1" applyFont="1" applyBorder="1"/>
    <xf numFmtId="164" fontId="0" fillId="0" borderId="10" xfId="43" applyNumberFormat="1" applyFont="1" applyBorder="1"/>
    <xf numFmtId="8" fontId="0" fillId="0" borderId="10" xfId="0" applyNumberFormat="1" applyBorder="1"/>
    <xf numFmtId="165" fontId="0" fillId="0" borderId="10" xfId="0" applyNumberFormat="1" applyBorder="1"/>
    <xf numFmtId="44" fontId="0" fillId="0" borderId="10" xfId="42" applyFont="1" applyBorder="1"/>
    <xf numFmtId="44" fontId="0" fillId="0" borderId="10" xfId="0" applyNumberFormat="1" applyBorder="1"/>
    <xf numFmtId="0" fontId="17" fillId="0" borderId="10" xfId="0" applyFont="1" applyBorder="1"/>
    <xf numFmtId="0" fontId="17" fillId="36" borderId="10" xfId="0" applyFont="1" applyFill="1" applyBorder="1"/>
    <xf numFmtId="44" fontId="17" fillId="36" borderId="10" xfId="0" applyNumberFormat="1" applyFont="1" applyFill="1" applyBorder="1"/>
    <xf numFmtId="44" fontId="17" fillId="36" borderId="12" xfId="42" applyFont="1" applyFill="1" applyBorder="1"/>
    <xf numFmtId="0" fontId="0" fillId="37" borderId="10" xfId="0" applyFill="1" applyBorder="1"/>
    <xf numFmtId="44" fontId="0" fillId="37" borderId="11" xfId="0" applyNumberFormat="1" applyFill="1" applyBorder="1"/>
    <xf numFmtId="165" fontId="0" fillId="0" borderId="0" xfId="0" applyNumberFormat="1"/>
    <xf numFmtId="8" fontId="0" fillId="0" borderId="12" xfId="0" applyNumberFormat="1" applyBorder="1"/>
    <xf numFmtId="165" fontId="0" fillId="0" borderId="12" xfId="0" applyNumberFormat="1" applyBorder="1"/>
    <xf numFmtId="44" fontId="0" fillId="37" borderId="0" xfId="0" applyNumberFormat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361293</xdr:colOff>
      <xdr:row>0</xdr:row>
      <xdr:rowOff>65687</xdr:rowOff>
    </xdr:from>
    <xdr:to>
      <xdr:col>13</xdr:col>
      <xdr:colOff>494348</xdr:colOff>
      <xdr:row>10</xdr:row>
      <xdr:rowOff>2646</xdr:rowOff>
    </xdr:to>
    <xdr:pic>
      <xdr:nvPicPr>
        <xdr:cNvPr id="2" name="Imagen 1" descr="Tasa de interés nominal y efectiva | Matemáticas financieras - YouTube">
          <a:extLst>
            <a:ext uri="{FF2B5EF4-FFF2-40B4-BE49-F238E27FC236}">
              <a16:creationId xmlns:a16="http://schemas.microsoft.com/office/drawing/2014/main" id="{B9FEB49A-5F80-459F-A58E-E9068D46D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396" y="65687"/>
          <a:ext cx="3279590" cy="1841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637191</xdr:colOff>
      <xdr:row>10</xdr:row>
      <xdr:rowOff>166324</xdr:rowOff>
    </xdr:from>
    <xdr:to>
      <xdr:col>16</xdr:col>
      <xdr:colOff>623136</xdr:colOff>
      <xdr:row>15</xdr:row>
      <xdr:rowOff>21567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A68FFC-E7CF-6ACD-4FCD-54ECAF5C9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4484" y="2071324"/>
          <a:ext cx="6305290" cy="807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B707-806E-4B57-8098-ABBF30A0A20A}">
  <dimension ref="B1:L82"/>
  <sheetViews>
    <sheetView showGridLines="0" tabSelected="1" topLeftCell="D7" zoomScale="145" zoomScaleNormal="145" workbookViewId="0">
      <selection activeCell="F19" sqref="F19"/>
    </sheetView>
  </sheetViews>
  <sheetFormatPr baseColWidth="10" defaultRowHeight="15" x14ac:dyDescent="0.25"/>
  <cols>
    <col min="1" max="1" width="4" customWidth="1"/>
    <col min="2" max="2" width="20.28515625" customWidth="1"/>
    <col min="3" max="3" width="13.28515625" bestFit="1" customWidth="1"/>
    <col min="6" max="6" width="12.85546875" bestFit="1" customWidth="1"/>
    <col min="7" max="8" width="11.7109375" bestFit="1" customWidth="1"/>
    <col min="9" max="9" width="13.28515625" bestFit="1" customWidth="1"/>
    <col min="11" max="11" width="12.85546875" bestFit="1" customWidth="1"/>
  </cols>
  <sheetData>
    <row r="1" spans="2:8" x14ac:dyDescent="0.25">
      <c r="G1" t="s">
        <v>25</v>
      </c>
      <c r="H1" t="s">
        <v>26</v>
      </c>
    </row>
    <row r="2" spans="2:8" x14ac:dyDescent="0.25">
      <c r="C2" s="1"/>
      <c r="E2" t="s">
        <v>3</v>
      </c>
      <c r="F2" s="2">
        <f>C7</f>
        <v>745.47</v>
      </c>
      <c r="H2" t="s">
        <v>27</v>
      </c>
    </row>
    <row r="3" spans="2:8" x14ac:dyDescent="0.25">
      <c r="B3" t="s">
        <v>0</v>
      </c>
      <c r="C3" s="1">
        <v>30000</v>
      </c>
      <c r="H3" t="s">
        <v>28</v>
      </c>
    </row>
    <row r="4" spans="2:8" x14ac:dyDescent="0.25">
      <c r="B4" t="s">
        <v>1</v>
      </c>
      <c r="C4" s="1">
        <f>C3*0.4</f>
        <v>12000</v>
      </c>
      <c r="E4" t="s">
        <v>13</v>
      </c>
      <c r="F4" s="2">
        <f>F2-F5</f>
        <v>500.00000000000011</v>
      </c>
    </row>
    <row r="5" spans="2:8" x14ac:dyDescent="0.25">
      <c r="B5" t="s">
        <v>2</v>
      </c>
      <c r="C5" s="1">
        <f>C3-C4</f>
        <v>18000</v>
      </c>
      <c r="E5" t="s">
        <v>14</v>
      </c>
      <c r="F5">
        <f>C18</f>
        <v>245.46999999999994</v>
      </c>
      <c r="G5">
        <v>0.4</v>
      </c>
    </row>
    <row r="6" spans="2:8" x14ac:dyDescent="0.25">
      <c r="C6" s="1"/>
      <c r="G6" t="s">
        <v>29</v>
      </c>
      <c r="H6" s="1">
        <v>2000</v>
      </c>
    </row>
    <row r="7" spans="2:8" x14ac:dyDescent="0.25">
      <c r="B7" t="s">
        <v>3</v>
      </c>
      <c r="C7" s="7">
        <v>745.47</v>
      </c>
      <c r="H7" s="24">
        <f>G5*H6</f>
        <v>800</v>
      </c>
    </row>
    <row r="8" spans="2:8" x14ac:dyDescent="0.25">
      <c r="B8" t="s">
        <v>4</v>
      </c>
      <c r="C8" s="1">
        <v>36</v>
      </c>
      <c r="E8" s="8" t="s">
        <v>15</v>
      </c>
      <c r="F8" s="10">
        <v>0.2215</v>
      </c>
      <c r="G8" s="8" t="s">
        <v>16</v>
      </c>
    </row>
    <row r="9" spans="2:8" x14ac:dyDescent="0.25">
      <c r="B9" t="s">
        <v>5</v>
      </c>
      <c r="C9" s="1">
        <f>C8*C7</f>
        <v>26836.920000000002</v>
      </c>
      <c r="E9" s="8"/>
      <c r="F9" s="9"/>
      <c r="G9" s="8"/>
    </row>
    <row r="10" spans="2:8" x14ac:dyDescent="0.25">
      <c r="E10" s="8" t="s">
        <v>18</v>
      </c>
      <c r="F10" s="9">
        <f>(1+F8)^(1/12)-1</f>
        <v>1.6813076216675826E-2</v>
      </c>
      <c r="G10" s="8" t="s">
        <v>17</v>
      </c>
    </row>
    <row r="11" spans="2:8" x14ac:dyDescent="0.25">
      <c r="B11" t="s">
        <v>6</v>
      </c>
      <c r="C11" s="2">
        <f>C9</f>
        <v>26836.920000000002</v>
      </c>
      <c r="E11" s="8" t="s">
        <v>19</v>
      </c>
      <c r="F11" s="12">
        <f>PMT(F10,C8,C5,0)</f>
        <v>-670.5569403092577</v>
      </c>
      <c r="G11" s="8" t="s">
        <v>19</v>
      </c>
      <c r="H11">
        <v>-846.31502321109781</v>
      </c>
    </row>
    <row r="12" spans="2:8" x14ac:dyDescent="0.25">
      <c r="B12" t="s">
        <v>7</v>
      </c>
      <c r="C12" s="2">
        <f>C4</f>
        <v>12000</v>
      </c>
      <c r="E12" s="8"/>
      <c r="F12" s="8"/>
      <c r="G12" s="8"/>
      <c r="H12" s="21">
        <f>H11-F11</f>
        <v>-175.75808290184011</v>
      </c>
    </row>
    <row r="13" spans="2:8" x14ac:dyDescent="0.25">
      <c r="B13" t="s">
        <v>5</v>
      </c>
      <c r="C13" s="3">
        <f>C12+C11</f>
        <v>38836.92</v>
      </c>
      <c r="E13" s="8" t="s">
        <v>20</v>
      </c>
      <c r="F13" s="13">
        <f>F11*C8*-1</f>
        <v>24140.049851133277</v>
      </c>
      <c r="G13" s="8"/>
    </row>
    <row r="14" spans="2:8" x14ac:dyDescent="0.25">
      <c r="E14" s="19" t="s">
        <v>21</v>
      </c>
      <c r="F14" s="20">
        <f>C4</f>
        <v>12000</v>
      </c>
    </row>
    <row r="15" spans="2:8" x14ac:dyDescent="0.25">
      <c r="B15" t="s">
        <v>8</v>
      </c>
      <c r="C15" s="2">
        <f>C3</f>
        <v>30000</v>
      </c>
      <c r="E15" s="8" t="s">
        <v>22</v>
      </c>
      <c r="F15" s="14">
        <f>F14+F13</f>
        <v>36140.049851133277</v>
      </c>
    </row>
    <row r="16" spans="2:8" x14ac:dyDescent="0.25">
      <c r="E16" s="8"/>
      <c r="F16" s="8"/>
    </row>
    <row r="17" spans="2:12" x14ac:dyDescent="0.25">
      <c r="B17" t="s">
        <v>9</v>
      </c>
      <c r="C17" s="5">
        <f>C13-C15</f>
        <v>8836.9199999999983</v>
      </c>
      <c r="E17" s="16" t="s">
        <v>23</v>
      </c>
      <c r="F17" s="17">
        <f>F15-C3</f>
        <v>6140.0498511332771</v>
      </c>
    </row>
    <row r="18" spans="2:12" x14ac:dyDescent="0.25">
      <c r="B18" t="s">
        <v>10</v>
      </c>
      <c r="C18">
        <f>C17/C8</f>
        <v>245.46999999999994</v>
      </c>
      <c r="E18" s="15"/>
      <c r="F18" s="14">
        <f>F17/36</f>
        <v>170.5569403092577</v>
      </c>
      <c r="G18" s="2">
        <f>F18*12</f>
        <v>2046.6832837110924</v>
      </c>
      <c r="J18" s="2">
        <f>H7-L21</f>
        <v>600</v>
      </c>
    </row>
    <row r="19" spans="2:12" x14ac:dyDescent="0.25">
      <c r="E19" s="18" t="s">
        <v>23</v>
      </c>
      <c r="F19" s="17">
        <f>SUM(F23:F58)</f>
        <v>-6140.0498511332808</v>
      </c>
    </row>
    <row r="20" spans="2:12" x14ac:dyDescent="0.25">
      <c r="B20" t="s">
        <v>11</v>
      </c>
      <c r="C20">
        <v>12</v>
      </c>
      <c r="E20" s="18" t="s">
        <v>24</v>
      </c>
      <c r="F20" s="17" t="e">
        <f>SUM(G23:G64)</f>
        <v>#NUM!</v>
      </c>
    </row>
    <row r="21" spans="2:12" x14ac:dyDescent="0.25">
      <c r="B21" s="4" t="s">
        <v>12</v>
      </c>
      <c r="C21" s="6">
        <f>C20*C18</f>
        <v>2945.6399999999994</v>
      </c>
      <c r="L21">
        <v>200</v>
      </c>
    </row>
    <row r="22" spans="2:12" x14ac:dyDescent="0.25">
      <c r="E22" s="8" t="s">
        <v>3</v>
      </c>
      <c r="F22" s="8" t="s">
        <v>14</v>
      </c>
      <c r="G22" s="8" t="s">
        <v>13</v>
      </c>
      <c r="H22" s="8" t="s">
        <v>0</v>
      </c>
    </row>
    <row r="23" spans="2:12" x14ac:dyDescent="0.25">
      <c r="E23" s="8">
        <v>1</v>
      </c>
      <c r="F23" s="11">
        <f>IPMT($F$10,E23,$C$8,$C$5,0)</f>
        <v>-302.6353719001649</v>
      </c>
      <c r="G23" s="11">
        <f>PPMT($F$10,E23,$C$8,$C$5,0)</f>
        <v>-367.9215684090928</v>
      </c>
      <c r="H23" s="12">
        <f>G23+F23</f>
        <v>-670.5569403092577</v>
      </c>
      <c r="J23" t="s">
        <v>30</v>
      </c>
    </row>
    <row r="24" spans="2:12" x14ac:dyDescent="0.25">
      <c r="E24" s="8">
        <v>2</v>
      </c>
      <c r="F24" s="11">
        <f t="shared" ref="F24:F64" si="0">IPMT($F$10,E24,$C$8,$C$5,0)</f>
        <v>-296.4494785287439</v>
      </c>
      <c r="G24" s="11">
        <f t="shared" ref="G24:G64" si="1">PPMT($F$10,E24,$C$8,$C$5,0)</f>
        <v>-374.1074617805138</v>
      </c>
      <c r="H24" s="12">
        <f t="shared" ref="H24:H64" si="2">G24+F24</f>
        <v>-670.5569403092577</v>
      </c>
      <c r="J24">
        <v>15</v>
      </c>
    </row>
    <row r="25" spans="2:12" x14ac:dyDescent="0.25">
      <c r="E25" s="8">
        <v>3</v>
      </c>
      <c r="F25" s="11">
        <f t="shared" si="0"/>
        <v>-290.15958126060093</v>
      </c>
      <c r="G25" s="11">
        <f t="shared" si="1"/>
        <v>-380.39735904865671</v>
      </c>
      <c r="H25" s="12">
        <f t="shared" si="2"/>
        <v>-670.5569403092577</v>
      </c>
      <c r="J25" t="s">
        <v>31</v>
      </c>
    </row>
    <row r="26" spans="2:12" x14ac:dyDescent="0.25">
      <c r="E26" s="8">
        <v>4</v>
      </c>
      <c r="F26" s="11">
        <f t="shared" si="0"/>
        <v>-283.7639314702937</v>
      </c>
      <c r="G26" s="11">
        <f t="shared" si="1"/>
        <v>-386.793008838964</v>
      </c>
      <c r="H26" s="12">
        <f t="shared" si="2"/>
        <v>-670.5569403092577</v>
      </c>
      <c r="K26" s="24">
        <f>J24*H6</f>
        <v>30000</v>
      </c>
    </row>
    <row r="27" spans="2:12" x14ac:dyDescent="0.25">
      <c r="E27" s="8">
        <v>5</v>
      </c>
      <c r="F27" s="11">
        <f t="shared" si="0"/>
        <v>-277.2607511326068</v>
      </c>
      <c r="G27" s="11">
        <f t="shared" si="1"/>
        <v>-393.2961891766509</v>
      </c>
      <c r="H27" s="12">
        <f t="shared" si="2"/>
        <v>-670.5569403092577</v>
      </c>
    </row>
    <row r="28" spans="2:12" x14ac:dyDescent="0.25">
      <c r="E28" s="8">
        <v>6</v>
      </c>
      <c r="F28" s="11">
        <f t="shared" si="0"/>
        <v>-270.64823232825171</v>
      </c>
      <c r="G28" s="11">
        <f t="shared" si="1"/>
        <v>-399.9087079810061</v>
      </c>
      <c r="H28" s="12">
        <f t="shared" si="2"/>
        <v>-670.55694030925781</v>
      </c>
    </row>
    <row r="29" spans="2:12" x14ac:dyDescent="0.25">
      <c r="E29" s="8">
        <v>7</v>
      </c>
      <c r="F29" s="11">
        <f t="shared" si="0"/>
        <v>-263.92453674125466</v>
      </c>
      <c r="G29" s="11">
        <f t="shared" si="1"/>
        <v>-406.6324035680031</v>
      </c>
      <c r="H29" s="12">
        <f t="shared" si="2"/>
        <v>-670.5569403092577</v>
      </c>
    </row>
    <row r="30" spans="2:12" x14ac:dyDescent="0.25">
      <c r="E30" s="8">
        <v>8</v>
      </c>
      <c r="F30" s="11">
        <f t="shared" si="0"/>
        <v>-257.08779514789569</v>
      </c>
      <c r="G30" s="11">
        <f t="shared" si="1"/>
        <v>-413.46914516136201</v>
      </c>
      <c r="H30" s="12">
        <f t="shared" si="2"/>
        <v>-670.5569403092577</v>
      </c>
      <c r="I30" s="21">
        <f>H29+H30</f>
        <v>-1341.1138806185154</v>
      </c>
    </row>
    <row r="31" spans="2:12" x14ac:dyDescent="0.25">
      <c r="E31" s="8">
        <v>9</v>
      </c>
      <c r="F31" s="11">
        <f t="shared" si="0"/>
        <v>-250.13610689705393</v>
      </c>
      <c r="G31" s="11">
        <f t="shared" si="1"/>
        <v>-420.42083341220376</v>
      </c>
      <c r="H31" s="12">
        <f t="shared" si="2"/>
        <v>-670.5569403092577</v>
      </c>
    </row>
    <row r="32" spans="2:12" x14ac:dyDescent="0.25">
      <c r="E32" s="8">
        <v>10</v>
      </c>
      <c r="F32" s="11">
        <f t="shared" si="0"/>
        <v>-243.06753938181615</v>
      </c>
      <c r="G32" s="11">
        <f t="shared" si="1"/>
        <v>-427.48940092744152</v>
      </c>
      <c r="H32" s="12">
        <f t="shared" si="2"/>
        <v>-670.5569403092577</v>
      </c>
    </row>
    <row r="33" spans="5:9" x14ac:dyDescent="0.25">
      <c r="E33" s="8">
        <v>11</v>
      </c>
      <c r="F33" s="11">
        <f t="shared" si="0"/>
        <v>-235.88012750220201</v>
      </c>
      <c r="G33" s="11">
        <f t="shared" si="1"/>
        <v>-434.67681280705568</v>
      </c>
      <c r="H33" s="12">
        <f t="shared" si="2"/>
        <v>-670.5569403092577</v>
      </c>
    </row>
    <row r="34" spans="5:9" x14ac:dyDescent="0.25">
      <c r="E34" s="8">
        <v>12</v>
      </c>
      <c r="F34" s="11">
        <f t="shared" si="0"/>
        <v>-228.57187311885525</v>
      </c>
      <c r="G34" s="11">
        <f t="shared" si="1"/>
        <v>-441.98506719040245</v>
      </c>
      <c r="H34" s="12">
        <f t="shared" si="2"/>
        <v>-670.5569403092577</v>
      </c>
      <c r="I34" s="21">
        <f>H33+H34</f>
        <v>-1341.1138806185154</v>
      </c>
    </row>
    <row r="35" spans="5:9" x14ac:dyDescent="0.25">
      <c r="E35" s="8">
        <v>13</v>
      </c>
      <c r="F35" s="11">
        <f t="shared" si="0"/>
        <v>-221.14074449755043</v>
      </c>
      <c r="G35" s="11">
        <f t="shared" si="1"/>
        <v>-449.41619581170727</v>
      </c>
      <c r="H35" s="12">
        <f t="shared" si="2"/>
        <v>-670.5569403092577</v>
      </c>
    </row>
    <row r="36" spans="5:9" x14ac:dyDescent="0.25">
      <c r="E36" s="8">
        <v>14</v>
      </c>
      <c r="F36" s="11">
        <f t="shared" si="0"/>
        <v>-213.58467574435966</v>
      </c>
      <c r="G36" s="11">
        <f t="shared" si="1"/>
        <v>-456.97226456489801</v>
      </c>
      <c r="H36" s="12">
        <f t="shared" si="2"/>
        <v>-670.5569403092577</v>
      </c>
    </row>
    <row r="37" spans="5:9" x14ac:dyDescent="0.25">
      <c r="E37" s="8">
        <v>15</v>
      </c>
      <c r="F37" s="11">
        <f t="shared" si="0"/>
        <v>-205.90156623132307</v>
      </c>
      <c r="G37" s="11">
        <f t="shared" si="1"/>
        <v>-464.6553740779346</v>
      </c>
      <c r="H37" s="12">
        <f t="shared" si="2"/>
        <v>-670.5569403092577</v>
      </c>
    </row>
    <row r="38" spans="5:9" x14ac:dyDescent="0.25">
      <c r="E38" s="8">
        <v>16</v>
      </c>
      <c r="F38" s="11">
        <f t="shared" si="0"/>
        <v>-198.08928001246275</v>
      </c>
      <c r="G38" s="11">
        <f t="shared" si="1"/>
        <v>-472.46766029679492</v>
      </c>
      <c r="H38" s="12">
        <f t="shared" si="2"/>
        <v>-670.5569403092577</v>
      </c>
    </row>
    <row r="39" spans="5:9" x14ac:dyDescent="0.25">
      <c r="E39" s="8">
        <v>17</v>
      </c>
      <c r="F39" s="11">
        <f t="shared" si="0"/>
        <v>-190.14564522997827</v>
      </c>
      <c r="G39" s="11">
        <f t="shared" si="1"/>
        <v>-480.41129507927945</v>
      </c>
      <c r="H39" s="12">
        <f t="shared" si="2"/>
        <v>-670.5569403092577</v>
      </c>
    </row>
    <row r="40" spans="5:9" x14ac:dyDescent="0.25">
      <c r="E40" s="8">
        <v>18</v>
      </c>
      <c r="F40" s="11">
        <f t="shared" si="0"/>
        <v>-182.06845351045834</v>
      </c>
      <c r="G40" s="11">
        <f t="shared" si="1"/>
        <v>-488.48848679879933</v>
      </c>
      <c r="H40" s="12">
        <f t="shared" si="2"/>
        <v>-670.5569403092577</v>
      </c>
    </row>
    <row r="41" spans="5:9" x14ac:dyDescent="0.25">
      <c r="E41" s="8">
        <v>19</v>
      </c>
      <c r="F41" s="11">
        <f t="shared" si="0"/>
        <v>-173.85545935094154</v>
      </c>
      <c r="G41" s="11">
        <f t="shared" si="1"/>
        <v>-496.70148095831621</v>
      </c>
      <c r="H41" s="12">
        <f t="shared" si="2"/>
        <v>-670.5569403092577</v>
      </c>
      <c r="I41" s="21">
        <f>H40+H41</f>
        <v>-1341.1138806185154</v>
      </c>
    </row>
    <row r="42" spans="5:9" x14ac:dyDescent="0.25">
      <c r="E42" s="8">
        <v>20</v>
      </c>
      <c r="F42" s="11">
        <f t="shared" si="0"/>
        <v>-165.50437949465359</v>
      </c>
      <c r="G42" s="11">
        <f t="shared" si="1"/>
        <v>-505.05256081460408</v>
      </c>
      <c r="H42" s="12">
        <f t="shared" si="2"/>
        <v>-670.5569403092577</v>
      </c>
    </row>
    <row r="43" spans="5:9" x14ac:dyDescent="0.25">
      <c r="E43" s="8">
        <v>21</v>
      </c>
      <c r="F43" s="11">
        <f t="shared" si="0"/>
        <v>-157.01289229625033</v>
      </c>
      <c r="G43" s="11">
        <f t="shared" si="1"/>
        <v>-513.54404801300734</v>
      </c>
      <c r="H43" s="12">
        <f t="shared" si="2"/>
        <v>-670.5569403092577</v>
      </c>
    </row>
    <row r="44" spans="5:9" x14ac:dyDescent="0.25">
      <c r="E44" s="8">
        <v>22</v>
      </c>
      <c r="F44" s="11">
        <f t="shared" si="0"/>
        <v>-148.37863707638741</v>
      </c>
      <c r="G44" s="11">
        <f t="shared" si="1"/>
        <v>-522.17830323287023</v>
      </c>
      <c r="H44" s="12">
        <f t="shared" si="2"/>
        <v>-670.5569403092577</v>
      </c>
    </row>
    <row r="45" spans="5:9" x14ac:dyDescent="0.25">
      <c r="E45" s="8">
        <v>23</v>
      </c>
      <c r="F45" s="11">
        <f>IPMT($F$10,E45,$C$8,$C$5,0)</f>
        <v>-139.59921346543871</v>
      </c>
      <c r="G45" s="11">
        <f t="shared" si="1"/>
        <v>-530.95772684381893</v>
      </c>
      <c r="H45" s="12">
        <f t="shared" si="2"/>
        <v>-670.5569403092577</v>
      </c>
    </row>
    <row r="46" spans="5:9" x14ac:dyDescent="0.25">
      <c r="E46" s="8">
        <v>24</v>
      </c>
      <c r="F46" s="11">
        <f t="shared" si="0"/>
        <v>-130.67218073618062</v>
      </c>
      <c r="G46" s="11">
        <f t="shared" si="1"/>
        <v>-539.88475957307708</v>
      </c>
      <c r="H46" s="12">
        <f t="shared" si="2"/>
        <v>-670.5569403092577</v>
      </c>
      <c r="I46" s="21">
        <f>H45+H46</f>
        <v>-1341.1138806185154</v>
      </c>
    </row>
    <row r="47" spans="5:9" x14ac:dyDescent="0.25">
      <c r="E47" s="8">
        <v>25</v>
      </c>
      <c r="F47" s="11">
        <f t="shared" si="0"/>
        <v>-121.59505712525677</v>
      </c>
      <c r="G47" s="11">
        <f t="shared" si="1"/>
        <v>-548.96188318400084</v>
      </c>
      <c r="H47" s="12">
        <f t="shared" si="2"/>
        <v>-670.55694030925758</v>
      </c>
    </row>
    <row r="48" spans="5:9" x14ac:dyDescent="0.25">
      <c r="E48" s="8">
        <v>26</v>
      </c>
      <c r="F48" s="11">
        <f t="shared" si="0"/>
        <v>-112.36531914323426</v>
      </c>
      <c r="G48" s="11">
        <f t="shared" si="1"/>
        <v>-558.19162116602342</v>
      </c>
      <c r="H48" s="12">
        <f t="shared" si="2"/>
        <v>-670.5569403092577</v>
      </c>
    </row>
    <row r="49" spans="5:8" x14ac:dyDescent="0.25">
      <c r="E49" s="8">
        <v>27</v>
      </c>
      <c r="F49" s="11">
        <f t="shared" si="0"/>
        <v>-102.98040087306009</v>
      </c>
      <c r="G49" s="11">
        <f t="shared" si="1"/>
        <v>-567.57653943619755</v>
      </c>
      <c r="H49" s="12">
        <f t="shared" si="2"/>
        <v>-670.5569403092577</v>
      </c>
    </row>
    <row r="50" spans="5:8" x14ac:dyDescent="0.25">
      <c r="E50" s="8">
        <v>28</v>
      </c>
      <c r="F50" s="11">
        <f t="shared" si="0"/>
        <v>-93.437693256722184</v>
      </c>
      <c r="G50" s="11">
        <f t="shared" si="1"/>
        <v>-577.11924705253557</v>
      </c>
      <c r="H50" s="12">
        <f t="shared" si="2"/>
        <v>-670.5569403092577</v>
      </c>
    </row>
    <row r="51" spans="5:8" x14ac:dyDescent="0.25">
      <c r="E51" s="8">
        <v>29</v>
      </c>
      <c r="F51" s="11">
        <f t="shared" si="0"/>
        <v>-83.734543369917333</v>
      </c>
      <c r="G51" s="11">
        <f t="shared" si="1"/>
        <v>-586.82239693934036</v>
      </c>
      <c r="H51" s="12">
        <f t="shared" si="2"/>
        <v>-670.5569403092577</v>
      </c>
    </row>
    <row r="52" spans="5:8" x14ac:dyDescent="0.25">
      <c r="E52" s="8">
        <v>30</v>
      </c>
      <c r="F52" s="11">
        <f t="shared" si="0"/>
        <v>-73.868253684523808</v>
      </c>
      <c r="G52" s="11">
        <f t="shared" si="1"/>
        <v>-596.68868662473392</v>
      </c>
      <c r="H52" s="12">
        <f t="shared" si="2"/>
        <v>-670.5569403092577</v>
      </c>
    </row>
    <row r="53" spans="5:8" x14ac:dyDescent="0.25">
      <c r="E53" s="8">
        <v>31</v>
      </c>
      <c r="F53" s="11">
        <f t="shared" si="0"/>
        <v>-63.836081318673948</v>
      </c>
      <c r="G53" s="11">
        <f t="shared" si="1"/>
        <v>-606.72085899058379</v>
      </c>
      <c r="H53" s="12">
        <f t="shared" si="2"/>
        <v>-670.5569403092577</v>
      </c>
    </row>
    <row r="54" spans="5:8" x14ac:dyDescent="0.25">
      <c r="E54" s="8">
        <v>32</v>
      </c>
      <c r="F54" s="11">
        <f t="shared" si="0"/>
        <v>-53.635237274218248</v>
      </c>
      <c r="G54" s="11">
        <f t="shared" si="1"/>
        <v>-616.92170303503951</v>
      </c>
      <c r="H54" s="12">
        <f t="shared" si="2"/>
        <v>-670.55694030925781</v>
      </c>
    </row>
    <row r="55" spans="5:8" x14ac:dyDescent="0.25">
      <c r="E55" s="8">
        <v>33</v>
      </c>
      <c r="F55" s="11">
        <f t="shared" si="0"/>
        <v>-43.262885661368671</v>
      </c>
      <c r="G55" s="11">
        <f t="shared" si="1"/>
        <v>-627.29405464788908</v>
      </c>
      <c r="H55" s="12">
        <f t="shared" si="2"/>
        <v>-670.5569403092577</v>
      </c>
    </row>
    <row r="56" spans="5:8" x14ac:dyDescent="0.25">
      <c r="E56" s="8">
        <v>34</v>
      </c>
      <c r="F56" s="11">
        <f t="shared" si="0"/>
        <v>-32.716142910306097</v>
      </c>
      <c r="G56" s="11">
        <f t="shared" si="1"/>
        <v>-637.84079739895162</v>
      </c>
      <c r="H56" s="12">
        <f t="shared" si="2"/>
        <v>-670.5569403092577</v>
      </c>
    </row>
    <row r="57" spans="5:8" x14ac:dyDescent="0.25">
      <c r="E57" s="8">
        <v>35</v>
      </c>
      <c r="F57" s="11">
        <f t="shared" si="0"/>
        <v>-21.992076969532242</v>
      </c>
      <c r="G57" s="11">
        <f t="shared" si="1"/>
        <v>-648.56486333972543</v>
      </c>
      <c r="H57" s="12">
        <f t="shared" si="2"/>
        <v>-670.5569403092577</v>
      </c>
    </row>
    <row r="58" spans="5:8" x14ac:dyDescent="0.25">
      <c r="E58" s="8">
        <v>36</v>
      </c>
      <c r="F58" s="11">
        <f t="shared" si="0"/>
        <v>-11.087706490743493</v>
      </c>
      <c r="G58" s="11">
        <f t="shared" si="1"/>
        <v>-659.46923381851411</v>
      </c>
      <c r="H58" s="12">
        <f t="shared" si="2"/>
        <v>-670.55694030925758</v>
      </c>
    </row>
    <row r="59" spans="5:8" x14ac:dyDescent="0.25">
      <c r="E59" s="8">
        <v>37</v>
      </c>
      <c r="F59" s="11" t="e">
        <f t="shared" si="0"/>
        <v>#NUM!</v>
      </c>
      <c r="G59" s="11" t="e">
        <f t="shared" si="1"/>
        <v>#NUM!</v>
      </c>
      <c r="H59" s="12" t="e">
        <f t="shared" si="2"/>
        <v>#NUM!</v>
      </c>
    </row>
    <row r="60" spans="5:8" x14ac:dyDescent="0.25">
      <c r="E60" s="8">
        <v>38</v>
      </c>
      <c r="F60" s="11" t="e">
        <f t="shared" si="0"/>
        <v>#NUM!</v>
      </c>
      <c r="G60" s="11" t="e">
        <f t="shared" si="1"/>
        <v>#NUM!</v>
      </c>
      <c r="H60" s="12" t="e">
        <f t="shared" si="2"/>
        <v>#NUM!</v>
      </c>
    </row>
    <row r="61" spans="5:8" x14ac:dyDescent="0.25">
      <c r="E61" s="8">
        <v>39</v>
      </c>
      <c r="F61" s="11" t="e">
        <f t="shared" si="0"/>
        <v>#NUM!</v>
      </c>
      <c r="G61" s="11" t="e">
        <f t="shared" si="1"/>
        <v>#NUM!</v>
      </c>
      <c r="H61" s="12" t="e">
        <f t="shared" si="2"/>
        <v>#NUM!</v>
      </c>
    </row>
    <row r="62" spans="5:8" x14ac:dyDescent="0.25">
      <c r="E62" s="8">
        <v>40</v>
      </c>
      <c r="F62" s="11" t="e">
        <f t="shared" si="0"/>
        <v>#NUM!</v>
      </c>
      <c r="G62" s="11" t="e">
        <f t="shared" si="1"/>
        <v>#NUM!</v>
      </c>
      <c r="H62" s="12" t="e">
        <f t="shared" si="2"/>
        <v>#NUM!</v>
      </c>
    </row>
    <row r="63" spans="5:8" x14ac:dyDescent="0.25">
      <c r="E63" s="8">
        <v>41</v>
      </c>
      <c r="F63" s="11" t="e">
        <f t="shared" si="0"/>
        <v>#NUM!</v>
      </c>
      <c r="G63" s="11" t="e">
        <f t="shared" si="1"/>
        <v>#NUM!</v>
      </c>
      <c r="H63" s="12" t="e">
        <f t="shared" si="2"/>
        <v>#NUM!</v>
      </c>
    </row>
    <row r="64" spans="5:8" x14ac:dyDescent="0.25">
      <c r="E64" s="8">
        <v>42</v>
      </c>
      <c r="F64" s="11" t="e">
        <f t="shared" si="0"/>
        <v>#NUM!</v>
      </c>
      <c r="G64" s="11" t="e">
        <f t="shared" si="1"/>
        <v>#NUM!</v>
      </c>
      <c r="H64" s="12" t="e">
        <f t="shared" si="2"/>
        <v>#NUM!</v>
      </c>
    </row>
    <row r="65" spans="5:8" x14ac:dyDescent="0.25">
      <c r="E65" s="8">
        <v>43</v>
      </c>
      <c r="F65" s="11"/>
      <c r="G65" s="22"/>
      <c r="H65" s="23"/>
    </row>
    <row r="66" spans="5:8" x14ac:dyDescent="0.25">
      <c r="E66" s="8">
        <v>44</v>
      </c>
    </row>
    <row r="67" spans="5:8" x14ac:dyDescent="0.25">
      <c r="E67" s="8">
        <v>45</v>
      </c>
    </row>
    <row r="68" spans="5:8" x14ac:dyDescent="0.25">
      <c r="E68" s="8">
        <v>46</v>
      </c>
    </row>
    <row r="69" spans="5:8" x14ac:dyDescent="0.25">
      <c r="E69" s="8">
        <v>47</v>
      </c>
    </row>
    <row r="70" spans="5:8" x14ac:dyDescent="0.25">
      <c r="E70" s="8">
        <v>48</v>
      </c>
    </row>
    <row r="71" spans="5:8" x14ac:dyDescent="0.25">
      <c r="E71" s="8">
        <v>49</v>
      </c>
    </row>
    <row r="72" spans="5:8" x14ac:dyDescent="0.25">
      <c r="E72" s="8">
        <v>50</v>
      </c>
    </row>
    <row r="73" spans="5:8" x14ac:dyDescent="0.25">
      <c r="E73" s="8">
        <v>51</v>
      </c>
    </row>
    <row r="74" spans="5:8" x14ac:dyDescent="0.25">
      <c r="E74" s="8">
        <v>52</v>
      </c>
    </row>
    <row r="75" spans="5:8" x14ac:dyDescent="0.25">
      <c r="E75" s="8">
        <v>53</v>
      </c>
    </row>
    <row r="76" spans="5:8" x14ac:dyDescent="0.25">
      <c r="E76" s="8">
        <v>54</v>
      </c>
    </row>
    <row r="77" spans="5:8" x14ac:dyDescent="0.25">
      <c r="E77" s="8">
        <v>55</v>
      </c>
    </row>
    <row r="78" spans="5:8" x14ac:dyDescent="0.25">
      <c r="E78" s="8">
        <v>56</v>
      </c>
    </row>
    <row r="79" spans="5:8" x14ac:dyDescent="0.25">
      <c r="E79" s="8">
        <v>57</v>
      </c>
    </row>
    <row r="80" spans="5:8" x14ac:dyDescent="0.25">
      <c r="E80" s="8">
        <v>58</v>
      </c>
    </row>
    <row r="81" spans="5:5" x14ac:dyDescent="0.25">
      <c r="E81" s="8">
        <v>59</v>
      </c>
    </row>
    <row r="82" spans="5:5" x14ac:dyDescent="0.25">
      <c r="E82" s="8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mandarinas</dc:creator>
  <cp:lastModifiedBy>Miguel Jesus Adrianzen Moscol</cp:lastModifiedBy>
  <dcterms:created xsi:type="dcterms:W3CDTF">2025-10-07T02:42:10Z</dcterms:created>
  <dcterms:modified xsi:type="dcterms:W3CDTF">2025-10-21T03:29:35Z</dcterms:modified>
</cp:coreProperties>
</file>